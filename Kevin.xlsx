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ochief\Downloads\"/>
    </mc:Choice>
  </mc:AlternateContent>
  <xr:revisionPtr revIDLastSave="0" documentId="13_ncr:1_{8D9C170C-6D43-4DA7-B514-9D66DD10D068}" xr6:coauthVersionLast="47" xr6:coauthVersionMax="47" xr10:uidLastSave="{00000000-0000-0000-0000-000000000000}"/>
  <bookViews>
    <workbookView xWindow="-120" yWindow="-120" windowWidth="20640" windowHeight="11040" xr2:uid="{601D593A-ADE3-4B22-B416-58010B302E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8" i="1" l="1"/>
  <c r="I98" i="1"/>
  <c r="K97" i="1"/>
  <c r="I97" i="1"/>
  <c r="H97" i="1"/>
  <c r="I96" i="1"/>
  <c r="K96" i="1" s="1"/>
  <c r="H96" i="1"/>
  <c r="K95" i="1"/>
  <c r="I94" i="1"/>
  <c r="K94" i="1" s="1"/>
  <c r="H94" i="1"/>
  <c r="K93" i="1"/>
  <c r="K92" i="1"/>
  <c r="K91" i="1"/>
  <c r="K90" i="1"/>
  <c r="K89" i="1"/>
  <c r="K88" i="1"/>
  <c r="I87" i="1"/>
  <c r="K87" i="1" s="1"/>
  <c r="H87" i="1"/>
  <c r="K86" i="1"/>
  <c r="K85" i="1"/>
  <c r="K84" i="1"/>
  <c r="K83" i="1"/>
  <c r="K82" i="1"/>
  <c r="K81" i="1"/>
  <c r="K80" i="1"/>
  <c r="H79" i="1"/>
  <c r="I79" i="1" s="1"/>
  <c r="K79" i="1" s="1"/>
  <c r="I78" i="1"/>
  <c r="K78" i="1" s="1"/>
  <c r="H78" i="1"/>
  <c r="K76" i="1"/>
  <c r="I76" i="1"/>
  <c r="I77" i="1" s="1"/>
  <c r="K77" i="1" s="1"/>
  <c r="H75" i="1"/>
  <c r="I75" i="1" s="1"/>
  <c r="K75" i="1" s="1"/>
  <c r="I71" i="1"/>
  <c r="K71" i="1" s="1"/>
  <c r="I70" i="1"/>
  <c r="K70" i="1" s="1"/>
  <c r="H70" i="1"/>
  <c r="H69" i="1"/>
  <c r="I69" i="1" s="1"/>
  <c r="K69" i="1" s="1"/>
  <c r="K68" i="1"/>
  <c r="H67" i="1"/>
  <c r="I67" i="1" s="1"/>
  <c r="K67" i="1" s="1"/>
  <c r="K66" i="1"/>
  <c r="K65" i="1"/>
  <c r="K64" i="1"/>
  <c r="K63" i="1"/>
  <c r="K62" i="1"/>
  <c r="K61" i="1"/>
  <c r="I60" i="1"/>
  <c r="K60" i="1" s="1"/>
  <c r="H60" i="1"/>
  <c r="K59" i="1"/>
  <c r="K58" i="1"/>
  <c r="K57" i="1"/>
  <c r="K56" i="1"/>
  <c r="K55" i="1"/>
  <c r="K54" i="1"/>
  <c r="K53" i="1"/>
  <c r="H52" i="1"/>
  <c r="I52" i="1" s="1"/>
  <c r="K52" i="1" s="1"/>
  <c r="H51" i="1"/>
  <c r="I51" i="1" s="1"/>
  <c r="K51" i="1" s="1"/>
  <c r="I50" i="1"/>
  <c r="K50" i="1" s="1"/>
  <c r="I49" i="1"/>
  <c r="K49" i="1" s="1"/>
  <c r="H48" i="1"/>
  <c r="I48" i="1" s="1"/>
  <c r="K48" i="1" s="1"/>
  <c r="I45" i="1"/>
  <c r="K45" i="1" s="1"/>
  <c r="H44" i="1"/>
  <c r="I44" i="1" s="1"/>
  <c r="K44" i="1" s="1"/>
  <c r="H43" i="1"/>
  <c r="I43" i="1" s="1"/>
  <c r="K43" i="1" s="1"/>
  <c r="K42" i="1"/>
  <c r="K41" i="1"/>
  <c r="K40" i="1"/>
  <c r="K39" i="1"/>
  <c r="K38" i="1"/>
  <c r="K37" i="1"/>
  <c r="K36" i="1"/>
  <c r="K35" i="1"/>
  <c r="K34" i="1"/>
  <c r="K33" i="1"/>
  <c r="K32" i="1"/>
  <c r="H31" i="1"/>
  <c r="I31" i="1" s="1"/>
  <c r="K31" i="1" s="1"/>
  <c r="H30" i="1"/>
  <c r="I30" i="1" s="1"/>
  <c r="K30" i="1" s="1"/>
  <c r="K29" i="1"/>
  <c r="H28" i="1"/>
  <c r="I28" i="1" s="1"/>
  <c r="K28" i="1" s="1"/>
  <c r="H27" i="1"/>
  <c r="I27" i="1" s="1"/>
  <c r="K27" i="1" s="1"/>
  <c r="I24" i="1"/>
  <c r="K24" i="1" s="1"/>
  <c r="H23" i="1"/>
  <c r="I23" i="1" s="1"/>
  <c r="K23" i="1" s="1"/>
  <c r="I22" i="1"/>
  <c r="K22" i="1" s="1"/>
  <c r="H22" i="1"/>
  <c r="H21" i="1"/>
  <c r="I21" i="1" s="1"/>
  <c r="K21" i="1" s="1"/>
  <c r="K20" i="1"/>
  <c r="K19" i="1"/>
  <c r="K18" i="1"/>
  <c r="K17" i="1"/>
  <c r="I16" i="1"/>
  <c r="K16" i="1" s="1"/>
  <c r="H16" i="1"/>
  <c r="K15" i="1"/>
  <c r="K14" i="1"/>
  <c r="K13" i="1"/>
  <c r="H12" i="1"/>
  <c r="I12" i="1" s="1"/>
  <c r="K12" i="1" s="1"/>
  <c r="K11" i="1"/>
  <c r="H10" i="1"/>
  <c r="I10" i="1" s="1"/>
  <c r="K10" i="1" s="1"/>
  <c r="K8" i="1"/>
  <c r="I8" i="1"/>
  <c r="I9" i="1" s="1"/>
  <c r="K9" i="1" s="1"/>
  <c r="I7" i="1"/>
  <c r="K7" i="1" s="1"/>
  <c r="H7" i="1"/>
  <c r="I6" i="1"/>
  <c r="K6" i="1" s="1"/>
  <c r="H6" i="1"/>
  <c r="K5" i="1"/>
  <c r="H4" i="1"/>
  <c r="I4" i="1" s="1"/>
  <c r="K4" i="1" s="1"/>
  <c r="H3" i="1"/>
  <c r="I3" i="1" s="1"/>
  <c r="K3" i="1" s="1"/>
</calcChain>
</file>

<file path=xl/sharedStrings.xml><?xml version="1.0" encoding="utf-8"?>
<sst xmlns="http://schemas.openxmlformats.org/spreadsheetml/2006/main" count="400" uniqueCount="67">
  <si>
    <t>Cliente</t>
  </si>
  <si>
    <t>Proyecto</t>
  </si>
  <si>
    <t>Fecha</t>
  </si>
  <si>
    <t>Concepto</t>
  </si>
  <si>
    <t xml:space="preserve">Descripción </t>
  </si>
  <si>
    <t>Hs Inicio</t>
  </si>
  <si>
    <t>Hs Fin</t>
  </si>
  <si>
    <t>Hs Total</t>
  </si>
  <si>
    <t>Cantidad</t>
  </si>
  <si>
    <t>Precio Unitario</t>
  </si>
  <si>
    <t>Total</t>
  </si>
  <si>
    <t>MO</t>
  </si>
  <si>
    <t>Rodrigo retiro</t>
  </si>
  <si>
    <t>Diego retiro</t>
  </si>
  <si>
    <t>Insumo</t>
  </si>
  <si>
    <t>Combustible Real</t>
  </si>
  <si>
    <t>Edu montaje</t>
  </si>
  <si>
    <t>Adhesivo impreso</t>
  </si>
  <si>
    <t>Adhesivo total</t>
  </si>
  <si>
    <t>Derlis corte adhesivo</t>
  </si>
  <si>
    <t>Cuter</t>
  </si>
  <si>
    <t>Rodri ploteo</t>
  </si>
  <si>
    <t>Film</t>
  </si>
  <si>
    <t>Alcohol</t>
  </si>
  <si>
    <t>Rodri enfilado</t>
  </si>
  <si>
    <t xml:space="preserve">Thiner </t>
  </si>
  <si>
    <t>Estopa</t>
  </si>
  <si>
    <t>Carlitos ploteo y enfilado</t>
  </si>
  <si>
    <t>Richard entrega segundo congelador</t>
  </si>
  <si>
    <t>Diego entrega segundo congelador</t>
  </si>
  <si>
    <t>Carlitos presupuesto</t>
  </si>
  <si>
    <t>Hector pintura</t>
  </si>
  <si>
    <t>Pomo</t>
  </si>
  <si>
    <t>Kerosene</t>
  </si>
  <si>
    <t>Sellador</t>
  </si>
  <si>
    <t>Thinner acrilico</t>
  </si>
  <si>
    <t>Barniz Marino</t>
  </si>
  <si>
    <t>Thinner 2000</t>
  </si>
  <si>
    <t>Gris grfito</t>
  </si>
  <si>
    <t>Lija</t>
  </si>
  <si>
    <t>Enduido</t>
  </si>
  <si>
    <r>
      <t>Richard carga + entrega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(le sumé 10 min de carga a su hora)</t>
    </r>
  </si>
  <si>
    <r>
      <t>Diego entrega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(inventado)</t>
    </r>
  </si>
  <si>
    <t>Carlitos Presupuesto</t>
  </si>
  <si>
    <t>Adhesivo itotal</t>
  </si>
  <si>
    <t>Jc Fabricacion</t>
  </si>
  <si>
    <t>Cristian Fabricacion</t>
  </si>
  <si>
    <t>Mult de 6mm</t>
  </si>
  <si>
    <t>Bisagra</t>
  </si>
  <si>
    <t>Tornillos</t>
  </si>
  <si>
    <t>Disco flap</t>
  </si>
  <si>
    <t>Cola</t>
  </si>
  <si>
    <t>Clavo</t>
  </si>
  <si>
    <t>Pomo (7 gotas marron, 4 gotas negro, 3 gotas cedro)</t>
  </si>
  <si>
    <t>Sellador p/ madera</t>
  </si>
  <si>
    <t>Enuido</t>
  </si>
  <si>
    <t>JC entrega de pizarra</t>
  </si>
  <si>
    <t>Rodri entrega de pizarra</t>
  </si>
  <si>
    <t>Combustible</t>
  </si>
  <si>
    <t>Empresa 1 S.A.</t>
  </si>
  <si>
    <t>Empresa 2 S.A.</t>
  </si>
  <si>
    <t>Empresa 3 S.A.</t>
  </si>
  <si>
    <t>Ploteo de 2 Freezers Marca XXX</t>
  </si>
  <si>
    <t>Mant. Barra Degustadora Marca ZZZ</t>
  </si>
  <si>
    <t>Pizarra Madera Marca YYY</t>
  </si>
  <si>
    <t>Nestle SA</t>
  </si>
  <si>
    <t>Poste de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</si>
</sst>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3" fontId="1" fillId="2" borderId="0" xfId="0" applyNumberFormat="1" applyFont="1" applyFill="1"/>
    <xf numFmtId="3" fontId="2" fillId="2" borderId="0" xfId="0" applyNumberFormat="1" applyFont="1" applyFill="1"/>
    <xf numFmtId="0" fontId="0" fillId="3" borderId="0" xfId="0" applyFill="1"/>
    <xf numFmtId="0" fontId="0" fillId="0" borderId="0" xfId="0" applyFill="1"/>
    <xf numFmtId="16" fontId="0" fillId="0" borderId="0" xfId="0" applyNumberFormat="1" applyFill="1" applyAlignment="1">
      <alignment horizontal="right"/>
    </xf>
    <xf numFmtId="20" fontId="0" fillId="0" borderId="0" xfId="0" applyNumberFormat="1" applyFill="1"/>
    <xf numFmtId="3" fontId="0" fillId="0" borderId="0" xfId="0" applyNumberFormat="1" applyFill="1"/>
    <xf numFmtId="3" fontId="3" fillId="0" borderId="0" xfId="0" applyNumberFormat="1" applyFont="1" applyFill="1"/>
    <xf numFmtId="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8048-3E3C-4683-9384-F5524CE8A9BD}">
  <dimension ref="A2:K98"/>
  <sheetViews>
    <sheetView tabSelected="1" topLeftCell="A66" workbookViewId="0">
      <selection activeCell="B79" sqref="B79"/>
    </sheetView>
  </sheetViews>
  <sheetFormatPr baseColWidth="10" defaultRowHeight="15" x14ac:dyDescent="0.25"/>
  <cols>
    <col min="1" max="1" width="13.85546875" bestFit="1" customWidth="1"/>
    <col min="2" max="2" width="29.7109375" bestFit="1" customWidth="1"/>
    <col min="3" max="3" width="6.140625" bestFit="1" customWidth="1"/>
    <col min="4" max="4" width="9" bestFit="1" customWidth="1"/>
    <col min="5" max="5" width="49.5703125" bestFit="1" customWidth="1"/>
    <col min="6" max="6" width="8.28515625" bestFit="1" customWidth="1"/>
    <col min="7" max="7" width="6.140625" bestFit="1" customWidth="1"/>
    <col min="8" max="8" width="7.7109375" bestFit="1" customWidth="1"/>
    <col min="9" max="9" width="8.7109375" bestFit="1" customWidth="1"/>
    <col min="10" max="10" width="13.28515625" bestFit="1" customWidth="1"/>
    <col min="11" max="11" width="7.5703125" bestFit="1" customWidth="1"/>
  </cols>
  <sheetData>
    <row r="2" spans="1:11" x14ac:dyDescent="0.25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3" t="s">
        <v>8</v>
      </c>
      <c r="J2" s="3" t="s">
        <v>9</v>
      </c>
      <c r="K2" s="4" t="s">
        <v>10</v>
      </c>
    </row>
    <row r="3" spans="1:11" x14ac:dyDescent="0.25">
      <c r="A3" s="6" t="s">
        <v>59</v>
      </c>
      <c r="B3" s="6" t="s">
        <v>62</v>
      </c>
      <c r="C3" s="7">
        <v>45826</v>
      </c>
      <c r="D3" s="6" t="s">
        <v>11</v>
      </c>
      <c r="E3" s="6" t="s">
        <v>12</v>
      </c>
      <c r="F3" s="8">
        <v>0.70486111111111116</v>
      </c>
      <c r="G3" s="8">
        <v>0.75</v>
      </c>
      <c r="H3" s="8">
        <f t="shared" ref="H3:H4" si="0">+G3-F3</f>
        <v>4.513888888888884E-2</v>
      </c>
      <c r="I3" s="9">
        <f t="shared" ref="I3:I4" si="1">INT(HOUR(H3)*60+MINUTE(H3))</f>
        <v>65</v>
      </c>
      <c r="J3" s="9">
        <v>350</v>
      </c>
      <c r="K3" s="10">
        <f>+J3*I3</f>
        <v>22750</v>
      </c>
    </row>
    <row r="4" spans="1:11" x14ac:dyDescent="0.25">
      <c r="A4" s="6" t="s">
        <v>59</v>
      </c>
      <c r="B4" s="6" t="s">
        <v>62</v>
      </c>
      <c r="C4" s="7">
        <v>45826</v>
      </c>
      <c r="D4" s="6" t="s">
        <v>11</v>
      </c>
      <c r="E4" s="6" t="s">
        <v>13</v>
      </c>
      <c r="F4" s="8">
        <v>0.70486111111111116</v>
      </c>
      <c r="G4" s="8">
        <v>0.75</v>
      </c>
      <c r="H4" s="8">
        <f t="shared" si="0"/>
        <v>4.513888888888884E-2</v>
      </c>
      <c r="I4" s="9">
        <f t="shared" si="1"/>
        <v>65</v>
      </c>
      <c r="J4" s="9">
        <v>350</v>
      </c>
      <c r="K4" s="10">
        <f>+J4*I4</f>
        <v>22750</v>
      </c>
    </row>
    <row r="5" spans="1:11" x14ac:dyDescent="0.25">
      <c r="A5" s="6" t="s">
        <v>59</v>
      </c>
      <c r="B5" s="6" t="s">
        <v>62</v>
      </c>
      <c r="C5" s="7">
        <v>45826</v>
      </c>
      <c r="D5" s="6" t="s">
        <v>14</v>
      </c>
      <c r="E5" s="6" t="s">
        <v>15</v>
      </c>
      <c r="F5" s="8"/>
      <c r="G5" s="8"/>
      <c r="H5" s="8"/>
      <c r="I5" s="9">
        <v>28</v>
      </c>
      <c r="J5" s="9">
        <v>1400</v>
      </c>
      <c r="K5" s="10">
        <f>+I5*J5</f>
        <v>39200</v>
      </c>
    </row>
    <row r="6" spans="1:11" x14ac:dyDescent="0.25">
      <c r="A6" s="6" t="s">
        <v>59</v>
      </c>
      <c r="B6" s="6" t="s">
        <v>62</v>
      </c>
      <c r="C6" s="7">
        <v>45827</v>
      </c>
      <c r="D6" s="6" t="s">
        <v>11</v>
      </c>
      <c r="E6" s="6" t="s">
        <v>16</v>
      </c>
      <c r="F6" s="8">
        <v>0.43402777777777779</v>
      </c>
      <c r="G6" s="8">
        <v>0.50208333333333333</v>
      </c>
      <c r="H6" s="8">
        <f t="shared" ref="H6:H7" si="2">+G6-F6</f>
        <v>6.8055555555555536E-2</v>
      </c>
      <c r="I6" s="9">
        <f t="shared" ref="I6:I7" si="3">INT(HOUR(H6)*60+MINUTE(H6))</f>
        <v>98</v>
      </c>
      <c r="J6" s="9">
        <v>350</v>
      </c>
      <c r="K6" s="10">
        <f>+J6*I6</f>
        <v>34300</v>
      </c>
    </row>
    <row r="7" spans="1:11" x14ac:dyDescent="0.25">
      <c r="A7" s="6" t="s">
        <v>59</v>
      </c>
      <c r="B7" s="6" t="s">
        <v>62</v>
      </c>
      <c r="C7" s="7">
        <v>45827</v>
      </c>
      <c r="D7" s="6" t="s">
        <v>11</v>
      </c>
      <c r="E7" s="6" t="s">
        <v>16</v>
      </c>
      <c r="F7" s="8">
        <v>0.62291666666666667</v>
      </c>
      <c r="G7" s="8">
        <v>0.63124999999999998</v>
      </c>
      <c r="H7" s="8">
        <f t="shared" si="2"/>
        <v>8.3333333333333037E-3</v>
      </c>
      <c r="I7" s="9">
        <f t="shared" si="3"/>
        <v>12</v>
      </c>
      <c r="J7" s="9">
        <v>350</v>
      </c>
      <c r="K7" s="10">
        <f>+J7*I7</f>
        <v>4200</v>
      </c>
    </row>
    <row r="8" spans="1:11" x14ac:dyDescent="0.25">
      <c r="A8" s="6" t="s">
        <v>59</v>
      </c>
      <c r="B8" s="6" t="s">
        <v>62</v>
      </c>
      <c r="C8" s="7">
        <v>45827</v>
      </c>
      <c r="D8" s="6" t="s">
        <v>14</v>
      </c>
      <c r="E8" s="6" t="s">
        <v>17</v>
      </c>
      <c r="F8" s="8"/>
      <c r="G8" s="8"/>
      <c r="H8" s="8"/>
      <c r="I8" s="9">
        <f>1.5*3.01</f>
        <v>4.5149999999999997</v>
      </c>
      <c r="J8" s="9">
        <v>63000</v>
      </c>
      <c r="K8" s="10">
        <f t="shared" ref="K8:K9" si="4">+I8*J8</f>
        <v>284445</v>
      </c>
    </row>
    <row r="9" spans="1:11" x14ac:dyDescent="0.25">
      <c r="A9" s="6" t="s">
        <v>59</v>
      </c>
      <c r="B9" s="6" t="s">
        <v>62</v>
      </c>
      <c r="C9" s="7">
        <v>45827</v>
      </c>
      <c r="D9" s="6" t="s">
        <v>14</v>
      </c>
      <c r="E9" s="6" t="s">
        <v>18</v>
      </c>
      <c r="F9" s="8"/>
      <c r="G9" s="8"/>
      <c r="H9" s="8"/>
      <c r="I9" s="9">
        <f>1.52*3.09-I8</f>
        <v>0.18179999999999996</v>
      </c>
      <c r="J9" s="9">
        <v>15500</v>
      </c>
      <c r="K9" s="10">
        <f t="shared" si="4"/>
        <v>2817.8999999999992</v>
      </c>
    </row>
    <row r="10" spans="1:11" x14ac:dyDescent="0.25">
      <c r="A10" s="6" t="s">
        <v>59</v>
      </c>
      <c r="B10" s="6" t="s">
        <v>62</v>
      </c>
      <c r="C10" s="7">
        <v>45827</v>
      </c>
      <c r="D10" s="6" t="s">
        <v>11</v>
      </c>
      <c r="E10" s="6" t="s">
        <v>19</v>
      </c>
      <c r="F10" s="8">
        <v>0.69722222222222219</v>
      </c>
      <c r="G10" s="8">
        <v>0.74861111111111112</v>
      </c>
      <c r="H10" s="8">
        <f t="shared" ref="H10" si="5">+G10-F10</f>
        <v>5.1388888888888928E-2</v>
      </c>
      <c r="I10" s="9">
        <f t="shared" ref="I10" si="6">INT(HOUR(H10)*60+MINUTE(H10))</f>
        <v>74</v>
      </c>
      <c r="J10" s="9">
        <v>350</v>
      </c>
      <c r="K10" s="10">
        <f>+J10*I10</f>
        <v>25900</v>
      </c>
    </row>
    <row r="11" spans="1:11" x14ac:dyDescent="0.25">
      <c r="A11" s="6" t="s">
        <v>59</v>
      </c>
      <c r="B11" s="6" t="s">
        <v>62</v>
      </c>
      <c r="C11" s="7">
        <v>45827</v>
      </c>
      <c r="D11" s="6" t="s">
        <v>14</v>
      </c>
      <c r="E11" s="6" t="s">
        <v>20</v>
      </c>
      <c r="F11" s="8"/>
      <c r="G11" s="8"/>
      <c r="H11" s="8"/>
      <c r="I11" s="9">
        <v>1</v>
      </c>
      <c r="J11" s="9">
        <v>1500</v>
      </c>
      <c r="K11" s="10">
        <f t="shared" ref="K11" si="7">+I11*J11</f>
        <v>1500</v>
      </c>
    </row>
    <row r="12" spans="1:11" x14ac:dyDescent="0.25">
      <c r="A12" s="6" t="s">
        <v>59</v>
      </c>
      <c r="B12" s="6" t="s">
        <v>62</v>
      </c>
      <c r="C12" s="7">
        <v>45828</v>
      </c>
      <c r="D12" s="6" t="s">
        <v>11</v>
      </c>
      <c r="E12" s="6" t="s">
        <v>21</v>
      </c>
      <c r="F12" s="8">
        <v>0.34305555555555556</v>
      </c>
      <c r="G12" s="8">
        <v>0.4152777777777778</v>
      </c>
      <c r="H12" s="8">
        <f t="shared" ref="H12" si="8">+G12-F12</f>
        <v>7.2222222222222243E-2</v>
      </c>
      <c r="I12" s="9">
        <f t="shared" ref="I12" si="9">INT(HOUR(H12)*60+MINUTE(H12))</f>
        <v>104</v>
      </c>
      <c r="J12" s="9">
        <v>350</v>
      </c>
      <c r="K12" s="10">
        <f>+J12*I12</f>
        <v>36400</v>
      </c>
    </row>
    <row r="13" spans="1:11" x14ac:dyDescent="0.25">
      <c r="A13" s="6" t="s">
        <v>59</v>
      </c>
      <c r="B13" s="6" t="s">
        <v>62</v>
      </c>
      <c r="C13" s="7">
        <v>45828</v>
      </c>
      <c r="D13" s="6" t="s">
        <v>14</v>
      </c>
      <c r="E13" s="6" t="s">
        <v>20</v>
      </c>
      <c r="F13" s="8"/>
      <c r="G13" s="8"/>
      <c r="H13" s="8"/>
      <c r="I13" s="9">
        <v>1</v>
      </c>
      <c r="J13" s="9">
        <v>1500</v>
      </c>
      <c r="K13" s="10">
        <f t="shared" ref="K13:K15" si="10">+I13*J13</f>
        <v>1500</v>
      </c>
    </row>
    <row r="14" spans="1:11" x14ac:dyDescent="0.25">
      <c r="A14" s="6" t="s">
        <v>59</v>
      </c>
      <c r="B14" s="6" t="s">
        <v>62</v>
      </c>
      <c r="C14" s="7">
        <v>45828</v>
      </c>
      <c r="D14" s="6" t="s">
        <v>14</v>
      </c>
      <c r="E14" s="6" t="s">
        <v>22</v>
      </c>
      <c r="F14" s="8"/>
      <c r="G14" s="8"/>
      <c r="H14" s="8"/>
      <c r="I14" s="9">
        <v>9</v>
      </c>
      <c r="J14" s="9">
        <v>500</v>
      </c>
      <c r="K14" s="10">
        <f t="shared" si="10"/>
        <v>4500</v>
      </c>
    </row>
    <row r="15" spans="1:11" x14ac:dyDescent="0.25">
      <c r="A15" s="6" t="s">
        <v>59</v>
      </c>
      <c r="B15" s="6" t="s">
        <v>62</v>
      </c>
      <c r="C15" s="7">
        <v>45828</v>
      </c>
      <c r="D15" s="6" t="s">
        <v>14</v>
      </c>
      <c r="E15" s="6" t="s">
        <v>23</v>
      </c>
      <c r="F15" s="8"/>
      <c r="G15" s="8"/>
      <c r="H15" s="8"/>
      <c r="I15" s="9">
        <v>0.1</v>
      </c>
      <c r="J15" s="9">
        <v>20000</v>
      </c>
      <c r="K15" s="10">
        <f t="shared" si="10"/>
        <v>2000</v>
      </c>
    </row>
    <row r="16" spans="1:11" x14ac:dyDescent="0.25">
      <c r="A16" s="6" t="s">
        <v>59</v>
      </c>
      <c r="B16" s="6" t="s">
        <v>62</v>
      </c>
      <c r="C16" s="7">
        <v>45828</v>
      </c>
      <c r="D16" s="6" t="s">
        <v>11</v>
      </c>
      <c r="E16" s="6" t="s">
        <v>24</v>
      </c>
      <c r="F16" s="8">
        <v>0.66041666666666665</v>
      </c>
      <c r="G16" s="8">
        <v>0.75416666666666665</v>
      </c>
      <c r="H16" s="8">
        <f t="shared" ref="H16" si="11">+G16-F16</f>
        <v>9.375E-2</v>
      </c>
      <c r="I16" s="9">
        <f t="shared" ref="I16" si="12">INT(HOUR(H16)*60+MINUTE(H16))</f>
        <v>135</v>
      </c>
      <c r="J16" s="9">
        <v>350</v>
      </c>
      <c r="K16" s="10">
        <f>+J16*I16</f>
        <v>47250</v>
      </c>
    </row>
    <row r="17" spans="1:11" x14ac:dyDescent="0.25">
      <c r="A17" s="6" t="s">
        <v>59</v>
      </c>
      <c r="B17" s="6" t="s">
        <v>62</v>
      </c>
      <c r="C17" s="7">
        <v>45828</v>
      </c>
      <c r="D17" s="6" t="s">
        <v>14</v>
      </c>
      <c r="E17" s="6" t="s">
        <v>22</v>
      </c>
      <c r="F17" s="6"/>
      <c r="G17" s="6"/>
      <c r="H17" s="8"/>
      <c r="I17" s="9">
        <v>9</v>
      </c>
      <c r="J17" s="9">
        <v>500</v>
      </c>
      <c r="K17" s="10">
        <f t="shared" ref="K17:K20" si="13">+J17*I17</f>
        <v>4500</v>
      </c>
    </row>
    <row r="18" spans="1:11" x14ac:dyDescent="0.25">
      <c r="A18" s="6" t="s">
        <v>59</v>
      </c>
      <c r="B18" s="6" t="s">
        <v>62</v>
      </c>
      <c r="C18" s="7">
        <v>45828</v>
      </c>
      <c r="D18" s="6" t="s">
        <v>14</v>
      </c>
      <c r="E18" s="6" t="s">
        <v>20</v>
      </c>
      <c r="F18" s="6"/>
      <c r="G18" s="6"/>
      <c r="H18" s="8"/>
      <c r="I18" s="9">
        <v>1</v>
      </c>
      <c r="J18" s="9">
        <v>1500</v>
      </c>
      <c r="K18" s="10">
        <f t="shared" si="13"/>
        <v>1500</v>
      </c>
    </row>
    <row r="19" spans="1:11" x14ac:dyDescent="0.25">
      <c r="A19" s="6" t="s">
        <v>59</v>
      </c>
      <c r="B19" s="6" t="s">
        <v>62</v>
      </c>
      <c r="C19" s="7">
        <v>45828</v>
      </c>
      <c r="D19" s="6" t="s">
        <v>14</v>
      </c>
      <c r="E19" s="6" t="s">
        <v>25</v>
      </c>
      <c r="F19" s="6"/>
      <c r="G19" s="6"/>
      <c r="H19" s="8"/>
      <c r="I19" s="9">
        <v>0.2</v>
      </c>
      <c r="J19" s="9">
        <v>19000</v>
      </c>
      <c r="K19" s="10">
        <f t="shared" si="13"/>
        <v>3800</v>
      </c>
    </row>
    <row r="20" spans="1:11" x14ac:dyDescent="0.25">
      <c r="A20" s="6" t="s">
        <v>59</v>
      </c>
      <c r="B20" s="6" t="s">
        <v>62</v>
      </c>
      <c r="C20" s="7">
        <v>45828</v>
      </c>
      <c r="D20" s="6" t="s">
        <v>14</v>
      </c>
      <c r="E20" s="6" t="s">
        <v>26</v>
      </c>
      <c r="F20" s="6"/>
      <c r="G20" s="6"/>
      <c r="H20" s="8"/>
      <c r="I20" s="9">
        <v>1</v>
      </c>
      <c r="J20" s="9">
        <v>2500</v>
      </c>
      <c r="K20" s="10">
        <f t="shared" si="13"/>
        <v>2500</v>
      </c>
    </row>
    <row r="21" spans="1:11" s="5" customFormat="1" x14ac:dyDescent="0.25">
      <c r="A21" s="6" t="s">
        <v>59</v>
      </c>
      <c r="B21" s="6" t="s">
        <v>62</v>
      </c>
      <c r="C21" s="7">
        <v>45828</v>
      </c>
      <c r="D21" s="6" t="s">
        <v>11</v>
      </c>
      <c r="E21" s="6" t="s">
        <v>27</v>
      </c>
      <c r="F21" s="8">
        <v>0.52916666666666667</v>
      </c>
      <c r="G21" s="8">
        <v>0.62083333333333335</v>
      </c>
      <c r="H21" s="8">
        <f t="shared" ref="H21:H23" si="14">+G21-F21</f>
        <v>9.1666666666666674E-2</v>
      </c>
      <c r="I21" s="9">
        <f t="shared" ref="I21:I23" si="15">INT(HOUR(H21)*60+MINUTE(H21))</f>
        <v>132</v>
      </c>
      <c r="J21" s="9">
        <v>350</v>
      </c>
      <c r="K21" s="10">
        <f>+J21*I21</f>
        <v>46200</v>
      </c>
    </row>
    <row r="22" spans="1:11" x14ac:dyDescent="0.25">
      <c r="A22" s="6" t="s">
        <v>59</v>
      </c>
      <c r="B22" s="6" t="s">
        <v>62</v>
      </c>
      <c r="C22" s="7">
        <v>45831</v>
      </c>
      <c r="D22" s="6" t="s">
        <v>11</v>
      </c>
      <c r="E22" s="6" t="s">
        <v>28</v>
      </c>
      <c r="F22" s="8">
        <v>0.46805555555555556</v>
      </c>
      <c r="G22" s="8">
        <v>0.4777777777777778</v>
      </c>
      <c r="H22" s="8">
        <f t="shared" si="14"/>
        <v>9.7222222222222432E-3</v>
      </c>
      <c r="I22" s="9">
        <f t="shared" si="15"/>
        <v>14</v>
      </c>
      <c r="J22" s="9">
        <v>350</v>
      </c>
      <c r="K22" s="10">
        <f t="shared" ref="K22:K24" si="16">+J22*I22</f>
        <v>4900</v>
      </c>
    </row>
    <row r="23" spans="1:11" x14ac:dyDescent="0.25">
      <c r="A23" s="6" t="s">
        <v>59</v>
      </c>
      <c r="B23" s="6" t="s">
        <v>62</v>
      </c>
      <c r="C23" s="7">
        <v>45831</v>
      </c>
      <c r="D23" s="6" t="s">
        <v>11</v>
      </c>
      <c r="E23" s="6" t="s">
        <v>29</v>
      </c>
      <c r="F23" s="8">
        <v>0.46805555555555556</v>
      </c>
      <c r="G23" s="8">
        <v>0.4777777777777778</v>
      </c>
      <c r="H23" s="8">
        <f t="shared" si="14"/>
        <v>9.7222222222222432E-3</v>
      </c>
      <c r="I23" s="9">
        <f t="shared" si="15"/>
        <v>14</v>
      </c>
      <c r="J23" s="9">
        <v>350</v>
      </c>
      <c r="K23" s="10">
        <f t="shared" si="16"/>
        <v>4900</v>
      </c>
    </row>
    <row r="24" spans="1:11" s="5" customFormat="1" x14ac:dyDescent="0.25">
      <c r="A24" s="6" t="s">
        <v>59</v>
      </c>
      <c r="B24" s="6" t="s">
        <v>62</v>
      </c>
      <c r="C24" s="7">
        <v>45831</v>
      </c>
      <c r="D24" s="6" t="s">
        <v>14</v>
      </c>
      <c r="E24" s="6" t="s">
        <v>15</v>
      </c>
      <c r="F24" s="6"/>
      <c r="G24" s="6"/>
      <c r="H24" s="8"/>
      <c r="I24" s="9">
        <f>955-951</f>
        <v>4</v>
      </c>
      <c r="J24" s="9">
        <v>1400</v>
      </c>
      <c r="K24" s="10">
        <f t="shared" si="16"/>
        <v>5600</v>
      </c>
    </row>
    <row r="26" spans="1:11" x14ac:dyDescent="0.25">
      <c r="A26" s="1" t="s">
        <v>0</v>
      </c>
      <c r="B26" s="1" t="s">
        <v>1</v>
      </c>
      <c r="C26" s="2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3" t="s">
        <v>8</v>
      </c>
      <c r="J26" s="3" t="s">
        <v>9</v>
      </c>
      <c r="K26" s="4" t="s">
        <v>10</v>
      </c>
    </row>
    <row r="27" spans="1:11" x14ac:dyDescent="0.25">
      <c r="A27" s="6" t="s">
        <v>60</v>
      </c>
      <c r="B27" s="6" t="s">
        <v>63</v>
      </c>
      <c r="C27" s="7">
        <v>45826</v>
      </c>
      <c r="D27" s="6" t="s">
        <v>11</v>
      </c>
      <c r="E27" s="6" t="s">
        <v>12</v>
      </c>
      <c r="F27" s="8">
        <v>0.68263888888888891</v>
      </c>
      <c r="G27" s="8">
        <v>0.70486111111111116</v>
      </c>
      <c r="H27" s="8">
        <f t="shared" ref="H27:H28" si="17">+G27-F27</f>
        <v>2.2222222222222254E-2</v>
      </c>
      <c r="I27" s="9">
        <f t="shared" ref="I27:I28" si="18">INT(HOUR(H27)*60+MINUTE(H27))</f>
        <v>32</v>
      </c>
      <c r="J27" s="9">
        <v>350</v>
      </c>
      <c r="K27" s="10">
        <f>+J27*I27</f>
        <v>11200</v>
      </c>
    </row>
    <row r="28" spans="1:11" x14ac:dyDescent="0.25">
      <c r="A28" s="6" t="s">
        <v>60</v>
      </c>
      <c r="B28" s="6" t="s">
        <v>63</v>
      </c>
      <c r="C28" s="7">
        <v>45826</v>
      </c>
      <c r="D28" s="6" t="s">
        <v>11</v>
      </c>
      <c r="E28" s="6" t="s">
        <v>13</v>
      </c>
      <c r="F28" s="8">
        <v>0.68263888888888891</v>
      </c>
      <c r="G28" s="8">
        <v>0.70486111111111116</v>
      </c>
      <c r="H28" s="8">
        <f t="shared" si="17"/>
        <v>2.2222222222222254E-2</v>
      </c>
      <c r="I28" s="9">
        <f t="shared" si="18"/>
        <v>32</v>
      </c>
      <c r="J28" s="9">
        <v>350</v>
      </c>
      <c r="K28" s="10">
        <f>+J28*I28</f>
        <v>11200</v>
      </c>
    </row>
    <row r="29" spans="1:11" x14ac:dyDescent="0.25">
      <c r="A29" s="6" t="s">
        <v>60</v>
      </c>
      <c r="B29" s="6" t="s">
        <v>63</v>
      </c>
      <c r="C29" s="7">
        <v>45826</v>
      </c>
      <c r="D29" s="6" t="s">
        <v>14</v>
      </c>
      <c r="E29" s="6" t="s">
        <v>15</v>
      </c>
      <c r="F29" s="8"/>
      <c r="G29" s="8"/>
      <c r="H29" s="8"/>
      <c r="I29" s="9">
        <v>2</v>
      </c>
      <c r="J29" s="9">
        <v>1400</v>
      </c>
      <c r="K29" s="10">
        <f>+I29*J29</f>
        <v>2800</v>
      </c>
    </row>
    <row r="30" spans="1:11" x14ac:dyDescent="0.25">
      <c r="A30" s="6" t="s">
        <v>60</v>
      </c>
      <c r="B30" s="6" t="s">
        <v>63</v>
      </c>
      <c r="C30" s="7">
        <v>45827</v>
      </c>
      <c r="D30" s="6" t="s">
        <v>11</v>
      </c>
      <c r="E30" s="6" t="s">
        <v>30</v>
      </c>
      <c r="F30" s="8">
        <v>0.46180555555555558</v>
      </c>
      <c r="G30" s="8">
        <v>0.48055555555555557</v>
      </c>
      <c r="H30" s="8">
        <f t="shared" ref="H30:H31" si="19">+G30-F30</f>
        <v>1.8749999999999989E-2</v>
      </c>
      <c r="I30" s="9">
        <f t="shared" ref="I30:I31" si="20">INT(HOUR(H30)*60+MINUTE(H30))</f>
        <v>27</v>
      </c>
      <c r="J30" s="9">
        <v>350</v>
      </c>
      <c r="K30" s="10">
        <f>+J30*I30</f>
        <v>9450</v>
      </c>
    </row>
    <row r="31" spans="1:11" x14ac:dyDescent="0.25">
      <c r="A31" s="6" t="s">
        <v>60</v>
      </c>
      <c r="B31" s="6" t="s">
        <v>63</v>
      </c>
      <c r="C31" s="7">
        <v>45828</v>
      </c>
      <c r="D31" s="6" t="s">
        <v>11</v>
      </c>
      <c r="E31" s="6" t="s">
        <v>31</v>
      </c>
      <c r="F31" s="8">
        <v>0.34583333333333333</v>
      </c>
      <c r="G31" s="8">
        <v>0.48194444444444445</v>
      </c>
      <c r="H31" s="8">
        <f t="shared" si="19"/>
        <v>0.13611111111111113</v>
      </c>
      <c r="I31" s="9">
        <f t="shared" si="20"/>
        <v>196</v>
      </c>
      <c r="J31" s="9">
        <v>350</v>
      </c>
      <c r="K31" s="10">
        <f>+J31*I31</f>
        <v>68600</v>
      </c>
    </row>
    <row r="32" spans="1:11" x14ac:dyDescent="0.25">
      <c r="A32" s="6" t="s">
        <v>60</v>
      </c>
      <c r="B32" s="6" t="s">
        <v>63</v>
      </c>
      <c r="C32" s="7">
        <v>45828</v>
      </c>
      <c r="D32" s="6" t="s">
        <v>14</v>
      </c>
      <c r="E32" s="6" t="s">
        <v>32</v>
      </c>
      <c r="F32" s="8"/>
      <c r="G32" s="8"/>
      <c r="H32" s="8"/>
      <c r="I32" s="9">
        <v>0.1</v>
      </c>
      <c r="J32" s="9">
        <v>12000</v>
      </c>
      <c r="K32" s="10">
        <f t="shared" ref="K32:K42" si="21">+I32*J32</f>
        <v>1200</v>
      </c>
    </row>
    <row r="33" spans="1:11" x14ac:dyDescent="0.25">
      <c r="A33" s="6" t="s">
        <v>60</v>
      </c>
      <c r="B33" s="6" t="s">
        <v>63</v>
      </c>
      <c r="C33" s="7">
        <v>45828</v>
      </c>
      <c r="D33" s="6" t="s">
        <v>14</v>
      </c>
      <c r="E33" s="6" t="s">
        <v>33</v>
      </c>
      <c r="F33" s="8"/>
      <c r="G33" s="8"/>
      <c r="H33" s="8"/>
      <c r="I33" s="9">
        <v>0.3</v>
      </c>
      <c r="J33" s="9">
        <v>16000</v>
      </c>
      <c r="K33" s="10">
        <f t="shared" si="21"/>
        <v>4800</v>
      </c>
    </row>
    <row r="34" spans="1:11" x14ac:dyDescent="0.25">
      <c r="A34" s="6" t="s">
        <v>60</v>
      </c>
      <c r="B34" s="6" t="s">
        <v>63</v>
      </c>
      <c r="C34" s="7">
        <v>45828</v>
      </c>
      <c r="D34" s="6" t="s">
        <v>14</v>
      </c>
      <c r="E34" s="6" t="s">
        <v>34</v>
      </c>
      <c r="F34" s="8"/>
      <c r="G34" s="8"/>
      <c r="H34" s="8"/>
      <c r="I34" s="9">
        <v>0.2</v>
      </c>
      <c r="J34" s="9">
        <v>45000</v>
      </c>
      <c r="K34" s="10">
        <f t="shared" si="21"/>
        <v>9000</v>
      </c>
    </row>
    <row r="35" spans="1:11" x14ac:dyDescent="0.25">
      <c r="A35" s="6" t="s">
        <v>60</v>
      </c>
      <c r="B35" s="6" t="s">
        <v>63</v>
      </c>
      <c r="C35" s="7">
        <v>45828</v>
      </c>
      <c r="D35" s="6" t="s">
        <v>14</v>
      </c>
      <c r="E35" s="6" t="s">
        <v>35</v>
      </c>
      <c r="F35" s="8"/>
      <c r="G35" s="8"/>
      <c r="H35" s="8"/>
      <c r="I35" s="9">
        <v>0.3</v>
      </c>
      <c r="J35" s="9">
        <v>20000</v>
      </c>
      <c r="K35" s="10">
        <f t="shared" si="21"/>
        <v>6000</v>
      </c>
    </row>
    <row r="36" spans="1:11" x14ac:dyDescent="0.25">
      <c r="A36" s="6" t="s">
        <v>60</v>
      </c>
      <c r="B36" s="6" t="s">
        <v>63</v>
      </c>
      <c r="C36" s="7">
        <v>45828</v>
      </c>
      <c r="D36" s="6" t="s">
        <v>14</v>
      </c>
      <c r="E36" s="6" t="s">
        <v>36</v>
      </c>
      <c r="F36" s="8"/>
      <c r="G36" s="8"/>
      <c r="H36" s="8"/>
      <c r="I36" s="9">
        <v>0.2</v>
      </c>
      <c r="J36" s="9">
        <v>35500</v>
      </c>
      <c r="K36" s="10">
        <f t="shared" si="21"/>
        <v>7100</v>
      </c>
    </row>
    <row r="37" spans="1:11" x14ac:dyDescent="0.25">
      <c r="A37" s="6" t="s">
        <v>60</v>
      </c>
      <c r="B37" s="6" t="s">
        <v>63</v>
      </c>
      <c r="C37" s="7">
        <v>45828</v>
      </c>
      <c r="D37" s="6" t="s">
        <v>14</v>
      </c>
      <c r="E37" s="6" t="s">
        <v>37</v>
      </c>
      <c r="F37" s="8"/>
      <c r="G37" s="8"/>
      <c r="H37" s="8"/>
      <c r="I37" s="9">
        <v>0.3</v>
      </c>
      <c r="J37" s="9">
        <v>18000</v>
      </c>
      <c r="K37" s="10">
        <f t="shared" si="21"/>
        <v>5400</v>
      </c>
    </row>
    <row r="38" spans="1:11" x14ac:dyDescent="0.25">
      <c r="A38" s="6" t="s">
        <v>60</v>
      </c>
      <c r="B38" s="6" t="s">
        <v>63</v>
      </c>
      <c r="C38" s="7">
        <v>45828</v>
      </c>
      <c r="D38" s="6" t="s">
        <v>14</v>
      </c>
      <c r="E38" s="6" t="s">
        <v>38</v>
      </c>
      <c r="F38" s="8"/>
      <c r="G38" s="8"/>
      <c r="H38" s="8"/>
      <c r="I38" s="9">
        <v>0.4</v>
      </c>
      <c r="J38" s="9">
        <v>65000</v>
      </c>
      <c r="K38" s="10">
        <f t="shared" si="21"/>
        <v>26000</v>
      </c>
    </row>
    <row r="39" spans="1:11" x14ac:dyDescent="0.25">
      <c r="A39" s="6" t="s">
        <v>60</v>
      </c>
      <c r="B39" s="6" t="s">
        <v>63</v>
      </c>
      <c r="C39" s="7">
        <v>45828</v>
      </c>
      <c r="D39" s="6" t="s">
        <v>14</v>
      </c>
      <c r="E39" s="6" t="s">
        <v>35</v>
      </c>
      <c r="F39" s="8"/>
      <c r="G39" s="8"/>
      <c r="H39" s="8"/>
      <c r="I39" s="9">
        <v>0.6</v>
      </c>
      <c r="J39" s="9">
        <v>20000</v>
      </c>
      <c r="K39" s="10">
        <f t="shared" si="21"/>
        <v>12000</v>
      </c>
    </row>
    <row r="40" spans="1:11" x14ac:dyDescent="0.25">
      <c r="A40" s="6" t="s">
        <v>60</v>
      </c>
      <c r="B40" s="6" t="s">
        <v>63</v>
      </c>
      <c r="C40" s="7">
        <v>45828</v>
      </c>
      <c r="D40" s="6" t="s">
        <v>14</v>
      </c>
      <c r="E40" s="6" t="s">
        <v>39</v>
      </c>
      <c r="F40" s="8"/>
      <c r="G40" s="8"/>
      <c r="H40" s="8"/>
      <c r="I40" s="9">
        <v>1</v>
      </c>
      <c r="J40" s="9">
        <v>2500</v>
      </c>
      <c r="K40" s="10">
        <f t="shared" si="21"/>
        <v>2500</v>
      </c>
    </row>
    <row r="41" spans="1:11" x14ac:dyDescent="0.25">
      <c r="A41" s="6" t="s">
        <v>60</v>
      </c>
      <c r="B41" s="6" t="s">
        <v>63</v>
      </c>
      <c r="C41" s="7">
        <v>45828</v>
      </c>
      <c r="D41" s="6" t="s">
        <v>14</v>
      </c>
      <c r="E41" s="6" t="s">
        <v>40</v>
      </c>
      <c r="F41" s="8"/>
      <c r="G41" s="8"/>
      <c r="H41" s="8"/>
      <c r="I41" s="9">
        <v>0.05</v>
      </c>
      <c r="J41" s="9">
        <v>9500</v>
      </c>
      <c r="K41" s="10">
        <f t="shared" si="21"/>
        <v>475</v>
      </c>
    </row>
    <row r="42" spans="1:11" x14ac:dyDescent="0.25">
      <c r="A42" s="6" t="s">
        <v>60</v>
      </c>
      <c r="B42" s="6" t="s">
        <v>63</v>
      </c>
      <c r="C42" s="7">
        <v>45828</v>
      </c>
      <c r="D42" s="6" t="s">
        <v>14</v>
      </c>
      <c r="E42" s="6" t="s">
        <v>26</v>
      </c>
      <c r="F42" s="8"/>
      <c r="G42" s="8"/>
      <c r="H42" s="8"/>
      <c r="I42" s="9">
        <v>2</v>
      </c>
      <c r="J42" s="9">
        <v>2500</v>
      </c>
      <c r="K42" s="10">
        <f t="shared" si="21"/>
        <v>5000</v>
      </c>
    </row>
    <row r="43" spans="1:11" x14ac:dyDescent="0.25">
      <c r="A43" s="6" t="s">
        <v>60</v>
      </c>
      <c r="B43" s="6" t="s">
        <v>63</v>
      </c>
      <c r="C43" s="7">
        <v>45831</v>
      </c>
      <c r="D43" s="6" t="s">
        <v>11</v>
      </c>
      <c r="E43" s="6" t="s">
        <v>41</v>
      </c>
      <c r="F43" s="8">
        <v>0.44930555555555557</v>
      </c>
      <c r="G43" s="8">
        <v>0.47430555555555554</v>
      </c>
      <c r="H43" s="8">
        <f t="shared" ref="H43:H44" si="22">+G43-F43</f>
        <v>2.4999999999999967E-2</v>
      </c>
      <c r="I43" s="9">
        <f t="shared" ref="I43:I44" si="23">INT(HOUR(H43)*60+MINUTE(H43))</f>
        <v>36</v>
      </c>
      <c r="J43" s="9">
        <v>350</v>
      </c>
      <c r="K43" s="10">
        <f>+J43*I43</f>
        <v>12600</v>
      </c>
    </row>
    <row r="44" spans="1:11" x14ac:dyDescent="0.25">
      <c r="A44" s="6" t="s">
        <v>60</v>
      </c>
      <c r="B44" s="6" t="s">
        <v>63</v>
      </c>
      <c r="C44" s="7">
        <v>45831</v>
      </c>
      <c r="D44" s="6" t="s">
        <v>11</v>
      </c>
      <c r="E44" s="6" t="s">
        <v>42</v>
      </c>
      <c r="F44" s="8">
        <v>0.44930555555555557</v>
      </c>
      <c r="G44" s="8">
        <v>0.46736111111111112</v>
      </c>
      <c r="H44" s="8">
        <f t="shared" si="22"/>
        <v>1.8055555555555547E-2</v>
      </c>
      <c r="I44" s="9">
        <f t="shared" si="23"/>
        <v>26</v>
      </c>
      <c r="J44" s="9">
        <v>350</v>
      </c>
      <c r="K44" s="10">
        <f>+J44*I44</f>
        <v>9100</v>
      </c>
    </row>
    <row r="45" spans="1:11" s="5" customFormat="1" x14ac:dyDescent="0.25">
      <c r="A45" s="6" t="s">
        <v>60</v>
      </c>
      <c r="B45" s="6" t="s">
        <v>63</v>
      </c>
      <c r="C45" s="7">
        <v>45831</v>
      </c>
      <c r="D45" s="6" t="s">
        <v>14</v>
      </c>
      <c r="E45" s="6" t="s">
        <v>15</v>
      </c>
      <c r="F45" s="8"/>
      <c r="G45" s="8"/>
      <c r="H45" s="8"/>
      <c r="I45" s="9">
        <f>951-944</f>
        <v>7</v>
      </c>
      <c r="J45" s="9">
        <v>2500</v>
      </c>
      <c r="K45" s="10">
        <f t="shared" ref="K45" si="24">+I45*J45</f>
        <v>17500</v>
      </c>
    </row>
    <row r="47" spans="1:11" x14ac:dyDescent="0.25">
      <c r="A47" s="1" t="s">
        <v>0</v>
      </c>
      <c r="B47" s="1" t="s">
        <v>1</v>
      </c>
      <c r="C47" s="2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3" t="s">
        <v>8</v>
      </c>
      <c r="J47" s="3" t="s">
        <v>9</v>
      </c>
      <c r="K47" s="4" t="s">
        <v>10</v>
      </c>
    </row>
    <row r="48" spans="1:11" x14ac:dyDescent="0.25">
      <c r="A48" s="6" t="s">
        <v>61</v>
      </c>
      <c r="B48" s="6" t="s">
        <v>64</v>
      </c>
      <c r="C48" s="7">
        <v>45826</v>
      </c>
      <c r="D48" s="6" t="s">
        <v>11</v>
      </c>
      <c r="E48" s="6" t="s">
        <v>43</v>
      </c>
      <c r="F48" s="8">
        <v>0.69861111111111107</v>
      </c>
      <c r="G48" s="8">
        <v>0.72013888888888888</v>
      </c>
      <c r="H48" s="8">
        <f t="shared" ref="H48" si="25">+G48-F48</f>
        <v>2.1527777777777812E-2</v>
      </c>
      <c r="I48" s="9">
        <f t="shared" ref="I48" si="26">INT(HOUR(H48)*60+MINUTE(H48))</f>
        <v>31</v>
      </c>
      <c r="J48" s="9">
        <v>350</v>
      </c>
      <c r="K48" s="10">
        <f>+J48*I48</f>
        <v>10850</v>
      </c>
    </row>
    <row r="49" spans="1:11" x14ac:dyDescent="0.25">
      <c r="A49" s="6" t="s">
        <v>61</v>
      </c>
      <c r="B49" s="6" t="s">
        <v>64</v>
      </c>
      <c r="C49" s="7">
        <v>45827</v>
      </c>
      <c r="D49" s="6" t="s">
        <v>14</v>
      </c>
      <c r="E49" s="6" t="s">
        <v>17</v>
      </c>
      <c r="F49" s="8"/>
      <c r="G49" s="8"/>
      <c r="H49" s="8"/>
      <c r="I49" s="11">
        <f>1.16*0.54</f>
        <v>0.62639999999999996</v>
      </c>
      <c r="J49" s="9">
        <v>63000</v>
      </c>
      <c r="K49" s="10">
        <f t="shared" ref="K49:K50" si="27">+I49*J49</f>
        <v>39463.199999999997</v>
      </c>
    </row>
    <row r="50" spans="1:11" x14ac:dyDescent="0.25">
      <c r="A50" s="6" t="s">
        <v>61</v>
      </c>
      <c r="B50" s="6" t="s">
        <v>64</v>
      </c>
      <c r="C50" s="7">
        <v>45827</v>
      </c>
      <c r="D50" s="6" t="s">
        <v>14</v>
      </c>
      <c r="E50" s="6" t="s">
        <v>44</v>
      </c>
      <c r="F50" s="8"/>
      <c r="G50" s="8"/>
      <c r="H50" s="8"/>
      <c r="I50" s="11">
        <f>1.52*0.61-I49</f>
        <v>0.30080000000000007</v>
      </c>
      <c r="J50" s="9">
        <v>15500</v>
      </c>
      <c r="K50" s="10">
        <f t="shared" si="27"/>
        <v>4662.4000000000015</v>
      </c>
    </row>
    <row r="51" spans="1:11" x14ac:dyDescent="0.25">
      <c r="A51" s="6" t="s">
        <v>61</v>
      </c>
      <c r="B51" s="6" t="s">
        <v>64</v>
      </c>
      <c r="C51" s="7">
        <v>45827</v>
      </c>
      <c r="D51" s="6" t="s">
        <v>11</v>
      </c>
      <c r="E51" s="6" t="s">
        <v>45</v>
      </c>
      <c r="F51" s="8">
        <v>0.39652777777777776</v>
      </c>
      <c r="G51" s="8">
        <v>0.49305555555555558</v>
      </c>
      <c r="H51" s="8">
        <f t="shared" ref="H51:H52" si="28">+G51-F51</f>
        <v>9.6527777777777823E-2</v>
      </c>
      <c r="I51" s="9">
        <f t="shared" ref="I51:I52" si="29">INT(HOUR(H51)*60+MINUTE(H51))</f>
        <v>139</v>
      </c>
      <c r="J51" s="9">
        <v>500</v>
      </c>
      <c r="K51" s="10">
        <f t="shared" ref="K51:K52" si="30">+J51*I51</f>
        <v>69500</v>
      </c>
    </row>
    <row r="52" spans="1:11" x14ac:dyDescent="0.25">
      <c r="A52" s="6" t="s">
        <v>61</v>
      </c>
      <c r="B52" s="6" t="s">
        <v>64</v>
      </c>
      <c r="C52" s="7">
        <v>45827</v>
      </c>
      <c r="D52" s="6" t="s">
        <v>11</v>
      </c>
      <c r="E52" s="6" t="s">
        <v>46</v>
      </c>
      <c r="F52" s="8">
        <v>0.39583333333333331</v>
      </c>
      <c r="G52" s="8">
        <v>0.49375000000000002</v>
      </c>
      <c r="H52" s="8">
        <f t="shared" si="28"/>
        <v>9.7916666666666707E-2</v>
      </c>
      <c r="I52" s="9">
        <f t="shared" si="29"/>
        <v>141</v>
      </c>
      <c r="J52" s="9">
        <v>350</v>
      </c>
      <c r="K52" s="10">
        <f t="shared" si="30"/>
        <v>49350</v>
      </c>
    </row>
    <row r="53" spans="1:11" x14ac:dyDescent="0.25">
      <c r="A53" s="6" t="s">
        <v>61</v>
      </c>
      <c r="B53" s="6" t="s">
        <v>64</v>
      </c>
      <c r="C53" s="7">
        <v>45827</v>
      </c>
      <c r="D53" s="6" t="s">
        <v>14</v>
      </c>
      <c r="E53" s="6" t="s">
        <v>47</v>
      </c>
      <c r="F53" s="8"/>
      <c r="G53" s="8"/>
      <c r="H53" s="8"/>
      <c r="I53" s="11">
        <v>1</v>
      </c>
      <c r="J53" s="9">
        <v>66000</v>
      </c>
      <c r="K53" s="10">
        <f t="shared" ref="K53:K59" si="31">+I53*J53</f>
        <v>66000</v>
      </c>
    </row>
    <row r="54" spans="1:11" x14ac:dyDescent="0.25">
      <c r="A54" s="6" t="s">
        <v>61</v>
      </c>
      <c r="B54" s="6" t="s">
        <v>64</v>
      </c>
      <c r="C54" s="7">
        <v>45827</v>
      </c>
      <c r="D54" s="6" t="s">
        <v>14</v>
      </c>
      <c r="E54" s="6" t="s">
        <v>48</v>
      </c>
      <c r="F54" s="8"/>
      <c r="G54" s="8"/>
      <c r="H54" s="8"/>
      <c r="I54" s="11">
        <v>2</v>
      </c>
      <c r="J54" s="9">
        <v>1850</v>
      </c>
      <c r="K54" s="10">
        <f t="shared" si="31"/>
        <v>3700</v>
      </c>
    </row>
    <row r="55" spans="1:11" x14ac:dyDescent="0.25">
      <c r="A55" s="6" t="s">
        <v>61</v>
      </c>
      <c r="B55" s="6" t="s">
        <v>64</v>
      </c>
      <c r="C55" s="7">
        <v>45827</v>
      </c>
      <c r="D55" s="6" t="s">
        <v>14</v>
      </c>
      <c r="E55" s="6" t="s">
        <v>49</v>
      </c>
      <c r="F55" s="8"/>
      <c r="G55" s="8"/>
      <c r="H55" s="8"/>
      <c r="I55" s="11">
        <v>12</v>
      </c>
      <c r="J55" s="9">
        <v>115</v>
      </c>
      <c r="K55" s="10">
        <f t="shared" si="31"/>
        <v>1380</v>
      </c>
    </row>
    <row r="56" spans="1:11" x14ac:dyDescent="0.25">
      <c r="A56" s="6" t="s">
        <v>61</v>
      </c>
      <c r="B56" s="6" t="s">
        <v>64</v>
      </c>
      <c r="C56" s="7">
        <v>45827</v>
      </c>
      <c r="D56" s="6" t="s">
        <v>14</v>
      </c>
      <c r="E56" s="6" t="s">
        <v>50</v>
      </c>
      <c r="F56" s="8"/>
      <c r="G56" s="8"/>
      <c r="H56" s="8"/>
      <c r="I56" s="11">
        <v>1</v>
      </c>
      <c r="J56" s="9">
        <v>13100</v>
      </c>
      <c r="K56" s="10">
        <f t="shared" si="31"/>
        <v>13100</v>
      </c>
    </row>
    <row r="57" spans="1:11" x14ac:dyDescent="0.25">
      <c r="A57" s="6" t="s">
        <v>61</v>
      </c>
      <c r="B57" s="6" t="s">
        <v>64</v>
      </c>
      <c r="C57" s="7">
        <v>45827</v>
      </c>
      <c r="D57" s="6" t="s">
        <v>14</v>
      </c>
      <c r="E57" s="6" t="s">
        <v>39</v>
      </c>
      <c r="F57" s="8"/>
      <c r="G57" s="8"/>
      <c r="H57" s="8"/>
      <c r="I57" s="11">
        <v>1</v>
      </c>
      <c r="J57" s="9">
        <v>2500</v>
      </c>
      <c r="K57" s="10">
        <f t="shared" si="31"/>
        <v>2500</v>
      </c>
    </row>
    <row r="58" spans="1:11" x14ac:dyDescent="0.25">
      <c r="A58" s="6" t="s">
        <v>61</v>
      </c>
      <c r="B58" s="6" t="s">
        <v>64</v>
      </c>
      <c r="C58" s="7">
        <v>45827</v>
      </c>
      <c r="D58" s="6" t="s">
        <v>14</v>
      </c>
      <c r="E58" s="6" t="s">
        <v>51</v>
      </c>
      <c r="F58" s="8"/>
      <c r="G58" s="8"/>
      <c r="H58" s="8"/>
      <c r="I58" s="11">
        <v>0.1</v>
      </c>
      <c r="J58" s="9">
        <v>19000</v>
      </c>
      <c r="K58" s="10">
        <f t="shared" si="31"/>
        <v>1900</v>
      </c>
    </row>
    <row r="59" spans="1:11" x14ac:dyDescent="0.25">
      <c r="A59" s="6" t="s">
        <v>61</v>
      </c>
      <c r="B59" s="6" t="s">
        <v>64</v>
      </c>
      <c r="C59" s="7">
        <v>45827</v>
      </c>
      <c r="D59" s="6" t="s">
        <v>14</v>
      </c>
      <c r="E59" s="6" t="s">
        <v>52</v>
      </c>
      <c r="F59" s="8"/>
      <c r="G59" s="8"/>
      <c r="H59" s="8"/>
      <c r="I59" s="11">
        <v>1</v>
      </c>
      <c r="J59" s="9">
        <v>1500</v>
      </c>
      <c r="K59" s="10">
        <f t="shared" si="31"/>
        <v>1500</v>
      </c>
    </row>
    <row r="60" spans="1:11" x14ac:dyDescent="0.25">
      <c r="A60" s="6" t="s">
        <v>61</v>
      </c>
      <c r="B60" s="6" t="s">
        <v>64</v>
      </c>
      <c r="C60" s="7">
        <v>45827</v>
      </c>
      <c r="D60" s="6" t="s">
        <v>11</v>
      </c>
      <c r="E60" s="6" t="s">
        <v>31</v>
      </c>
      <c r="F60" s="8">
        <v>0.57361111111111107</v>
      </c>
      <c r="G60" s="8">
        <v>0.77152777777777781</v>
      </c>
      <c r="H60" s="8">
        <f t="shared" ref="H60" si="32">+G60-F60</f>
        <v>0.19791666666666674</v>
      </c>
      <c r="I60" s="9">
        <f t="shared" ref="I60" si="33">INT(HOUR(H60)*60+MINUTE(H60))</f>
        <v>285</v>
      </c>
      <c r="J60" s="9">
        <v>350</v>
      </c>
      <c r="K60" s="10">
        <f t="shared" ref="K60" si="34">+J60*I60</f>
        <v>99750</v>
      </c>
    </row>
    <row r="61" spans="1:11" x14ac:dyDescent="0.25">
      <c r="A61" s="6" t="s">
        <v>61</v>
      </c>
      <c r="B61" s="6" t="s">
        <v>64</v>
      </c>
      <c r="C61" s="7">
        <v>45827</v>
      </c>
      <c r="D61" s="6" t="s">
        <v>14</v>
      </c>
      <c r="E61" s="6" t="s">
        <v>53</v>
      </c>
      <c r="F61" s="8"/>
      <c r="G61" s="8"/>
      <c r="H61" s="8"/>
      <c r="I61" s="11">
        <v>0.25</v>
      </c>
      <c r="J61" s="9">
        <v>12000</v>
      </c>
      <c r="K61" s="10">
        <f t="shared" ref="K61:K66" si="35">+I61*J61</f>
        <v>3000</v>
      </c>
    </row>
    <row r="62" spans="1:11" x14ac:dyDescent="0.25">
      <c r="A62" s="6" t="s">
        <v>61</v>
      </c>
      <c r="B62" s="6" t="s">
        <v>64</v>
      </c>
      <c r="C62" s="7">
        <v>45827</v>
      </c>
      <c r="D62" s="6" t="s">
        <v>14</v>
      </c>
      <c r="E62" s="6" t="s">
        <v>33</v>
      </c>
      <c r="F62" s="8"/>
      <c r="G62" s="8"/>
      <c r="H62" s="8"/>
      <c r="I62" s="11">
        <v>0.6</v>
      </c>
      <c r="J62" s="9">
        <v>16000</v>
      </c>
      <c r="K62" s="10">
        <f t="shared" si="35"/>
        <v>9600</v>
      </c>
    </row>
    <row r="63" spans="1:11" x14ac:dyDescent="0.25">
      <c r="A63" s="6" t="s">
        <v>61</v>
      </c>
      <c r="B63" s="6" t="s">
        <v>64</v>
      </c>
      <c r="C63" s="7">
        <v>45827</v>
      </c>
      <c r="D63" s="6" t="s">
        <v>14</v>
      </c>
      <c r="E63" s="6" t="s">
        <v>54</v>
      </c>
      <c r="F63" s="8"/>
      <c r="G63" s="8"/>
      <c r="H63" s="8"/>
      <c r="I63" s="11">
        <v>0.3</v>
      </c>
      <c r="J63" s="9">
        <v>45000</v>
      </c>
      <c r="K63" s="10">
        <f t="shared" si="35"/>
        <v>13500</v>
      </c>
    </row>
    <row r="64" spans="1:11" x14ac:dyDescent="0.25">
      <c r="A64" s="6" t="s">
        <v>61</v>
      </c>
      <c r="B64" s="6" t="s">
        <v>64</v>
      </c>
      <c r="C64" s="7">
        <v>45827</v>
      </c>
      <c r="D64" s="6" t="s">
        <v>14</v>
      </c>
      <c r="E64" s="6" t="s">
        <v>35</v>
      </c>
      <c r="F64" s="8"/>
      <c r="G64" s="8"/>
      <c r="H64" s="8"/>
      <c r="I64" s="11">
        <v>0.5</v>
      </c>
      <c r="J64" s="9">
        <v>20000</v>
      </c>
      <c r="K64" s="10">
        <f t="shared" si="35"/>
        <v>10000</v>
      </c>
    </row>
    <row r="65" spans="1:11" x14ac:dyDescent="0.25">
      <c r="A65" s="6" t="s">
        <v>61</v>
      </c>
      <c r="B65" s="6" t="s">
        <v>64</v>
      </c>
      <c r="C65" s="7">
        <v>45827</v>
      </c>
      <c r="D65" s="6" t="s">
        <v>14</v>
      </c>
      <c r="E65" s="6" t="s">
        <v>55</v>
      </c>
      <c r="F65" s="8"/>
      <c r="G65" s="8"/>
      <c r="H65" s="8"/>
      <c r="I65" s="11">
        <v>0.1</v>
      </c>
      <c r="J65" s="9">
        <v>9500</v>
      </c>
      <c r="K65" s="10">
        <f t="shared" si="35"/>
        <v>950</v>
      </c>
    </row>
    <row r="66" spans="1:11" x14ac:dyDescent="0.25">
      <c r="A66" s="6" t="s">
        <v>61</v>
      </c>
      <c r="B66" s="6" t="s">
        <v>64</v>
      </c>
      <c r="C66" s="7">
        <v>45827</v>
      </c>
      <c r="D66" s="6" t="s">
        <v>14</v>
      </c>
      <c r="E66" s="6" t="s">
        <v>39</v>
      </c>
      <c r="F66" s="8"/>
      <c r="G66" s="8"/>
      <c r="H66" s="8"/>
      <c r="I66" s="11">
        <v>1</v>
      </c>
      <c r="J66" s="9">
        <v>2500</v>
      </c>
      <c r="K66" s="10">
        <f t="shared" si="35"/>
        <v>2500</v>
      </c>
    </row>
    <row r="67" spans="1:11" x14ac:dyDescent="0.25">
      <c r="A67" s="6" t="s">
        <v>61</v>
      </c>
      <c r="B67" s="6" t="s">
        <v>64</v>
      </c>
      <c r="C67" s="7">
        <v>45828</v>
      </c>
      <c r="D67" s="6" t="s">
        <v>11</v>
      </c>
      <c r="E67" s="6" t="s">
        <v>21</v>
      </c>
      <c r="F67" s="8">
        <v>0.41736111111111113</v>
      </c>
      <c r="G67" s="8">
        <v>0.42430555555555555</v>
      </c>
      <c r="H67" s="8">
        <f t="shared" ref="H67" si="36">+G67-F67</f>
        <v>6.9444444444444198E-3</v>
      </c>
      <c r="I67" s="9">
        <f t="shared" ref="I67" si="37">INT(HOUR(H67)*60+MINUTE(H67))</f>
        <v>10</v>
      </c>
      <c r="J67" s="9">
        <v>350</v>
      </c>
      <c r="K67" s="10">
        <f t="shared" ref="K67" si="38">+J67*I67</f>
        <v>3500</v>
      </c>
    </row>
    <row r="68" spans="1:11" x14ac:dyDescent="0.25">
      <c r="A68" s="6" t="s">
        <v>61</v>
      </c>
      <c r="B68" s="6" t="s">
        <v>64</v>
      </c>
      <c r="C68" s="7">
        <v>45828</v>
      </c>
      <c r="D68" s="6" t="s">
        <v>14</v>
      </c>
      <c r="E68" s="6" t="s">
        <v>20</v>
      </c>
      <c r="F68" s="8"/>
      <c r="G68" s="8"/>
      <c r="H68" s="8"/>
      <c r="I68" s="11">
        <v>0.1</v>
      </c>
      <c r="J68" s="9">
        <v>19000</v>
      </c>
      <c r="K68" s="10">
        <f t="shared" ref="K68" si="39">+I68*J68</f>
        <v>1900</v>
      </c>
    </row>
    <row r="69" spans="1:11" x14ac:dyDescent="0.25">
      <c r="A69" s="6" t="s">
        <v>61</v>
      </c>
      <c r="B69" s="6" t="s">
        <v>64</v>
      </c>
      <c r="C69" s="7">
        <v>45828</v>
      </c>
      <c r="D69" s="6" t="s">
        <v>11</v>
      </c>
      <c r="E69" s="6" t="s">
        <v>56</v>
      </c>
      <c r="F69" s="8">
        <v>0.45833333333333331</v>
      </c>
      <c r="G69" s="8">
        <v>0.47916666666666669</v>
      </c>
      <c r="H69" s="8">
        <f t="shared" ref="H69:H70" si="40">+G69-F69</f>
        <v>2.083333333333337E-2</v>
      </c>
      <c r="I69" s="9">
        <f t="shared" ref="I69:I70" si="41">INT(HOUR(H69)*60+MINUTE(H69))</f>
        <v>30</v>
      </c>
      <c r="J69" s="9">
        <v>500</v>
      </c>
      <c r="K69" s="10">
        <f t="shared" ref="K69:K70" si="42">+J69*I69</f>
        <v>15000</v>
      </c>
    </row>
    <row r="70" spans="1:11" x14ac:dyDescent="0.25">
      <c r="A70" s="6" t="s">
        <v>61</v>
      </c>
      <c r="B70" s="6" t="s">
        <v>64</v>
      </c>
      <c r="C70" s="7">
        <v>45828</v>
      </c>
      <c r="D70" s="6" t="s">
        <v>11</v>
      </c>
      <c r="E70" s="6" t="s">
        <v>57</v>
      </c>
      <c r="F70" s="8">
        <v>0.45833333333333331</v>
      </c>
      <c r="G70" s="8">
        <v>0.47986111111111113</v>
      </c>
      <c r="H70" s="8">
        <f t="shared" si="40"/>
        <v>2.1527777777777812E-2</v>
      </c>
      <c r="I70" s="9">
        <f t="shared" si="41"/>
        <v>31</v>
      </c>
      <c r="J70" s="9">
        <v>350</v>
      </c>
      <c r="K70" s="10">
        <f t="shared" si="42"/>
        <v>10850</v>
      </c>
    </row>
    <row r="71" spans="1:11" x14ac:dyDescent="0.25">
      <c r="A71" s="6" t="s">
        <v>61</v>
      </c>
      <c r="B71" s="6" t="s">
        <v>64</v>
      </c>
      <c r="C71" s="7">
        <v>45828</v>
      </c>
      <c r="D71" s="6" t="s">
        <v>14</v>
      </c>
      <c r="E71" s="6" t="s">
        <v>58</v>
      </c>
      <c r="F71" s="8"/>
      <c r="G71" s="8"/>
      <c r="H71" s="8"/>
      <c r="I71" s="11">
        <f>919-917</f>
        <v>2</v>
      </c>
      <c r="J71" s="9">
        <v>1400</v>
      </c>
      <c r="K71" s="10">
        <f t="shared" ref="K71" si="43">+I71*J71</f>
        <v>2800</v>
      </c>
    </row>
    <row r="74" spans="1:11" x14ac:dyDescent="0.25">
      <c r="A74" s="1" t="s">
        <v>0</v>
      </c>
      <c r="B74" s="1" t="s">
        <v>1</v>
      </c>
      <c r="C74" s="2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H74" s="1" t="s">
        <v>7</v>
      </c>
      <c r="I74" s="3" t="s">
        <v>8</v>
      </c>
      <c r="J74" s="3" t="s">
        <v>9</v>
      </c>
      <c r="K74" s="4" t="s">
        <v>10</v>
      </c>
    </row>
    <row r="75" spans="1:11" x14ac:dyDescent="0.25">
      <c r="A75" s="6" t="s">
        <v>65</v>
      </c>
      <c r="B75" s="6" t="s">
        <v>66</v>
      </c>
      <c r="C75" s="7">
        <v>45826</v>
      </c>
      <c r="D75" s="6" t="s">
        <v>11</v>
      </c>
      <c r="E75" s="6" t="s">
        <v>43</v>
      </c>
      <c r="F75" s="8">
        <v>0.69861111111111107</v>
      </c>
      <c r="G75" s="8">
        <v>0.72013888888888888</v>
      </c>
      <c r="H75" s="8">
        <f t="shared" ref="H75" si="44">+G75-F75</f>
        <v>2.1527777777777812E-2</v>
      </c>
      <c r="I75" s="9">
        <f t="shared" ref="I75" si="45">INT(HOUR(H75)*60+MINUTE(H75))</f>
        <v>31</v>
      </c>
      <c r="J75" s="9">
        <v>350</v>
      </c>
      <c r="K75" s="10">
        <f>+J75*I75</f>
        <v>10850</v>
      </c>
    </row>
    <row r="76" spans="1:11" x14ac:dyDescent="0.25">
      <c r="A76" s="6" t="s">
        <v>65</v>
      </c>
      <c r="B76" s="6" t="s">
        <v>66</v>
      </c>
      <c r="C76" s="7">
        <v>45827</v>
      </c>
      <c r="D76" s="6" t="s">
        <v>14</v>
      </c>
      <c r="E76" s="6" t="s">
        <v>17</v>
      </c>
      <c r="F76" s="8"/>
      <c r="G76" s="8"/>
      <c r="H76" s="8"/>
      <c r="I76" s="11">
        <f>1.16*0.54</f>
        <v>0.62639999999999996</v>
      </c>
      <c r="J76" s="9">
        <v>63000</v>
      </c>
      <c r="K76" s="10">
        <f t="shared" ref="K76:K77" si="46">+I76*J76</f>
        <v>39463.199999999997</v>
      </c>
    </row>
    <row r="77" spans="1:11" x14ac:dyDescent="0.25">
      <c r="A77" s="6" t="s">
        <v>65</v>
      </c>
      <c r="B77" s="6" t="s">
        <v>66</v>
      </c>
      <c r="C77" s="7">
        <v>45827</v>
      </c>
      <c r="D77" s="6" t="s">
        <v>14</v>
      </c>
      <c r="E77" s="6" t="s">
        <v>44</v>
      </c>
      <c r="F77" s="8"/>
      <c r="G77" s="8"/>
      <c r="H77" s="8"/>
      <c r="I77" s="11">
        <f>1.52*0.61-I76</f>
        <v>0.30080000000000007</v>
      </c>
      <c r="J77" s="9">
        <v>15500</v>
      </c>
      <c r="K77" s="10">
        <f t="shared" si="46"/>
        <v>4662.4000000000015</v>
      </c>
    </row>
    <row r="78" spans="1:11" x14ac:dyDescent="0.25">
      <c r="A78" s="6" t="s">
        <v>65</v>
      </c>
      <c r="B78" s="6" t="s">
        <v>66</v>
      </c>
      <c r="C78" s="7">
        <v>45827</v>
      </c>
      <c r="D78" s="6" t="s">
        <v>11</v>
      </c>
      <c r="E78" s="6" t="s">
        <v>45</v>
      </c>
      <c r="F78" s="8">
        <v>0.39652777777777776</v>
      </c>
      <c r="G78" s="8">
        <v>0.49305555555555558</v>
      </c>
      <c r="H78" s="8">
        <f t="shared" ref="H78:H79" si="47">+G78-F78</f>
        <v>9.6527777777777823E-2</v>
      </c>
      <c r="I78" s="9">
        <f t="shared" ref="I78:I79" si="48">INT(HOUR(H78)*60+MINUTE(H78))</f>
        <v>139</v>
      </c>
      <c r="J78" s="9">
        <v>500</v>
      </c>
      <c r="K78" s="10">
        <f t="shared" ref="K78:K79" si="49">+J78*I78</f>
        <v>69500</v>
      </c>
    </row>
    <row r="79" spans="1:11" x14ac:dyDescent="0.25">
      <c r="A79" s="6" t="s">
        <v>65</v>
      </c>
      <c r="B79" s="6" t="s">
        <v>66</v>
      </c>
      <c r="C79" s="7">
        <v>45827</v>
      </c>
      <c r="D79" s="6" t="s">
        <v>11</v>
      </c>
      <c r="E79" s="6" t="s">
        <v>46</v>
      </c>
      <c r="F79" s="8">
        <v>0.39583333333333331</v>
      </c>
      <c r="G79" s="8">
        <v>0.49375000000000002</v>
      </c>
      <c r="H79" s="8">
        <f t="shared" si="47"/>
        <v>9.7916666666666707E-2</v>
      </c>
      <c r="I79" s="9">
        <f t="shared" si="48"/>
        <v>141</v>
      </c>
      <c r="J79" s="9">
        <v>350</v>
      </c>
      <c r="K79" s="10">
        <f t="shared" si="49"/>
        <v>49350</v>
      </c>
    </row>
    <row r="80" spans="1:11" x14ac:dyDescent="0.25">
      <c r="A80" s="6" t="s">
        <v>65</v>
      </c>
      <c r="B80" s="6" t="s">
        <v>66</v>
      </c>
      <c r="C80" s="7">
        <v>45827</v>
      </c>
      <c r="D80" s="6" t="s">
        <v>14</v>
      </c>
      <c r="E80" s="6" t="s">
        <v>47</v>
      </c>
      <c r="F80" s="8"/>
      <c r="G80" s="8"/>
      <c r="H80" s="8"/>
      <c r="I80" s="11">
        <v>1</v>
      </c>
      <c r="J80" s="9">
        <v>66000</v>
      </c>
      <c r="K80" s="10">
        <f t="shared" ref="K80:K86" si="50">+I80*J80</f>
        <v>66000</v>
      </c>
    </row>
    <row r="81" spans="1:11" x14ac:dyDescent="0.25">
      <c r="A81" s="6" t="s">
        <v>65</v>
      </c>
      <c r="B81" s="6" t="s">
        <v>66</v>
      </c>
      <c r="C81" s="7">
        <v>45827</v>
      </c>
      <c r="D81" s="6" t="s">
        <v>14</v>
      </c>
      <c r="E81" s="6" t="s">
        <v>48</v>
      </c>
      <c r="F81" s="8"/>
      <c r="G81" s="8"/>
      <c r="H81" s="8"/>
      <c r="I81" s="11">
        <v>2</v>
      </c>
      <c r="J81" s="9">
        <v>1850</v>
      </c>
      <c r="K81" s="10">
        <f t="shared" si="50"/>
        <v>3700</v>
      </c>
    </row>
    <row r="82" spans="1:11" x14ac:dyDescent="0.25">
      <c r="A82" s="6" t="s">
        <v>65</v>
      </c>
      <c r="B82" s="6" t="s">
        <v>66</v>
      </c>
      <c r="C82" s="7">
        <v>45827</v>
      </c>
      <c r="D82" s="6" t="s">
        <v>14</v>
      </c>
      <c r="E82" s="6" t="s">
        <v>49</v>
      </c>
      <c r="F82" s="8"/>
      <c r="G82" s="8"/>
      <c r="H82" s="8"/>
      <c r="I82" s="11">
        <v>12</v>
      </c>
      <c r="J82" s="9">
        <v>115</v>
      </c>
      <c r="K82" s="10">
        <f t="shared" si="50"/>
        <v>1380</v>
      </c>
    </row>
    <row r="83" spans="1:11" x14ac:dyDescent="0.25">
      <c r="A83" s="6" t="s">
        <v>65</v>
      </c>
      <c r="B83" s="6" t="s">
        <v>66</v>
      </c>
      <c r="C83" s="7">
        <v>45827</v>
      </c>
      <c r="D83" s="6" t="s">
        <v>14</v>
      </c>
      <c r="E83" s="6" t="s">
        <v>50</v>
      </c>
      <c r="F83" s="8"/>
      <c r="G83" s="8"/>
      <c r="H83" s="8"/>
      <c r="I83" s="11">
        <v>1</v>
      </c>
      <c r="J83" s="9">
        <v>13100</v>
      </c>
      <c r="K83" s="10">
        <f t="shared" si="50"/>
        <v>13100</v>
      </c>
    </row>
    <row r="84" spans="1:11" x14ac:dyDescent="0.25">
      <c r="A84" s="6" t="s">
        <v>65</v>
      </c>
      <c r="B84" s="6" t="s">
        <v>66</v>
      </c>
      <c r="C84" s="7">
        <v>45827</v>
      </c>
      <c r="D84" s="6" t="s">
        <v>14</v>
      </c>
      <c r="E84" s="6" t="s">
        <v>39</v>
      </c>
      <c r="F84" s="8"/>
      <c r="G84" s="8"/>
      <c r="H84" s="8"/>
      <c r="I84" s="11">
        <v>1</v>
      </c>
      <c r="J84" s="9">
        <v>2500</v>
      </c>
      <c r="K84" s="10">
        <f t="shared" si="50"/>
        <v>2500</v>
      </c>
    </row>
    <row r="85" spans="1:11" x14ac:dyDescent="0.25">
      <c r="A85" s="6" t="s">
        <v>65</v>
      </c>
      <c r="B85" s="6" t="s">
        <v>66</v>
      </c>
      <c r="C85" s="7">
        <v>45827</v>
      </c>
      <c r="D85" s="6" t="s">
        <v>14</v>
      </c>
      <c r="E85" s="6" t="s">
        <v>51</v>
      </c>
      <c r="F85" s="8"/>
      <c r="G85" s="8"/>
      <c r="H85" s="8"/>
      <c r="I85" s="11">
        <v>0.1</v>
      </c>
      <c r="J85" s="9">
        <v>19000</v>
      </c>
      <c r="K85" s="10">
        <f t="shared" si="50"/>
        <v>1900</v>
      </c>
    </row>
    <row r="86" spans="1:11" x14ac:dyDescent="0.25">
      <c r="A86" s="6" t="s">
        <v>65</v>
      </c>
      <c r="B86" s="6" t="s">
        <v>66</v>
      </c>
      <c r="C86" s="7">
        <v>45827</v>
      </c>
      <c r="D86" s="6" t="s">
        <v>14</v>
      </c>
      <c r="E86" s="6" t="s">
        <v>52</v>
      </c>
      <c r="F86" s="8"/>
      <c r="G86" s="8"/>
      <c r="H86" s="8"/>
      <c r="I86" s="11">
        <v>1</v>
      </c>
      <c r="J86" s="9">
        <v>1500</v>
      </c>
      <c r="K86" s="10">
        <f t="shared" si="50"/>
        <v>1500</v>
      </c>
    </row>
    <row r="87" spans="1:11" x14ac:dyDescent="0.25">
      <c r="A87" s="6" t="s">
        <v>65</v>
      </c>
      <c r="B87" s="6" t="s">
        <v>66</v>
      </c>
      <c r="C87" s="7">
        <v>45827</v>
      </c>
      <c r="D87" s="6" t="s">
        <v>11</v>
      </c>
      <c r="E87" s="6" t="s">
        <v>31</v>
      </c>
      <c r="F87" s="8">
        <v>0.57361111111111107</v>
      </c>
      <c r="G87" s="8">
        <v>0.77152777777777781</v>
      </c>
      <c r="H87" s="8">
        <f t="shared" ref="H87" si="51">+G87-F87</f>
        <v>0.19791666666666674</v>
      </c>
      <c r="I87" s="9">
        <f t="shared" ref="I87" si="52">INT(HOUR(H87)*60+MINUTE(H87))</f>
        <v>285</v>
      </c>
      <c r="J87" s="9">
        <v>350</v>
      </c>
      <c r="K87" s="10">
        <f t="shared" ref="K87" si="53">+J87*I87</f>
        <v>99750</v>
      </c>
    </row>
    <row r="88" spans="1:11" x14ac:dyDescent="0.25">
      <c r="A88" s="6" t="s">
        <v>65</v>
      </c>
      <c r="B88" s="6" t="s">
        <v>66</v>
      </c>
      <c r="C88" s="7">
        <v>45827</v>
      </c>
      <c r="D88" s="6" t="s">
        <v>14</v>
      </c>
      <c r="E88" s="6" t="s">
        <v>53</v>
      </c>
      <c r="F88" s="8"/>
      <c r="G88" s="8"/>
      <c r="H88" s="8"/>
      <c r="I88" s="11">
        <v>0.25</v>
      </c>
      <c r="J88" s="9">
        <v>12000</v>
      </c>
      <c r="K88" s="10">
        <f t="shared" ref="K88:K93" si="54">+I88*J88</f>
        <v>3000</v>
      </c>
    </row>
    <row r="89" spans="1:11" x14ac:dyDescent="0.25">
      <c r="A89" s="6" t="s">
        <v>65</v>
      </c>
      <c r="B89" s="6" t="s">
        <v>66</v>
      </c>
      <c r="C89" s="7">
        <v>45827</v>
      </c>
      <c r="D89" s="6" t="s">
        <v>14</v>
      </c>
      <c r="E89" s="6" t="s">
        <v>33</v>
      </c>
      <c r="F89" s="8"/>
      <c r="G89" s="8"/>
      <c r="H89" s="8"/>
      <c r="I89" s="11">
        <v>0.6</v>
      </c>
      <c r="J89" s="9">
        <v>16000</v>
      </c>
      <c r="K89" s="10">
        <f t="shared" si="54"/>
        <v>9600</v>
      </c>
    </row>
    <row r="90" spans="1:11" x14ac:dyDescent="0.25">
      <c r="A90" s="6" t="s">
        <v>65</v>
      </c>
      <c r="B90" s="6" t="s">
        <v>66</v>
      </c>
      <c r="C90" s="7">
        <v>45827</v>
      </c>
      <c r="D90" s="6" t="s">
        <v>14</v>
      </c>
      <c r="E90" s="6" t="s">
        <v>54</v>
      </c>
      <c r="F90" s="8"/>
      <c r="G90" s="8"/>
      <c r="H90" s="8"/>
      <c r="I90" s="11">
        <v>0.3</v>
      </c>
      <c r="J90" s="9">
        <v>45000</v>
      </c>
      <c r="K90" s="10">
        <f t="shared" si="54"/>
        <v>13500</v>
      </c>
    </row>
    <row r="91" spans="1:11" x14ac:dyDescent="0.25">
      <c r="A91" s="6" t="s">
        <v>65</v>
      </c>
      <c r="B91" s="6" t="s">
        <v>66</v>
      </c>
      <c r="C91" s="7">
        <v>45827</v>
      </c>
      <c r="D91" s="6" t="s">
        <v>14</v>
      </c>
      <c r="E91" s="6" t="s">
        <v>35</v>
      </c>
      <c r="F91" s="8"/>
      <c r="G91" s="8"/>
      <c r="H91" s="8"/>
      <c r="I91" s="11">
        <v>0.5</v>
      </c>
      <c r="J91" s="9">
        <v>20000</v>
      </c>
      <c r="K91" s="10">
        <f t="shared" si="54"/>
        <v>10000</v>
      </c>
    </row>
    <row r="92" spans="1:11" x14ac:dyDescent="0.25">
      <c r="A92" s="6" t="s">
        <v>65</v>
      </c>
      <c r="B92" s="6" t="s">
        <v>66</v>
      </c>
      <c r="C92" s="7">
        <v>45827</v>
      </c>
      <c r="D92" s="6" t="s">
        <v>14</v>
      </c>
      <c r="E92" s="6" t="s">
        <v>55</v>
      </c>
      <c r="F92" s="8"/>
      <c r="G92" s="8"/>
      <c r="H92" s="8"/>
      <c r="I92" s="11">
        <v>0.1</v>
      </c>
      <c r="J92" s="9">
        <v>9500</v>
      </c>
      <c r="K92" s="10">
        <f t="shared" si="54"/>
        <v>950</v>
      </c>
    </row>
    <row r="93" spans="1:11" x14ac:dyDescent="0.25">
      <c r="A93" s="6" t="s">
        <v>65</v>
      </c>
      <c r="B93" s="6" t="s">
        <v>66</v>
      </c>
      <c r="C93" s="7">
        <v>45827</v>
      </c>
      <c r="D93" s="6" t="s">
        <v>14</v>
      </c>
      <c r="E93" s="6" t="s">
        <v>39</v>
      </c>
      <c r="F93" s="8"/>
      <c r="G93" s="8"/>
      <c r="H93" s="8"/>
      <c r="I93" s="11">
        <v>1</v>
      </c>
      <c r="J93" s="9">
        <v>2500</v>
      </c>
      <c r="K93" s="10">
        <f t="shared" si="54"/>
        <v>2500</v>
      </c>
    </row>
    <row r="94" spans="1:11" x14ac:dyDescent="0.25">
      <c r="A94" s="6" t="s">
        <v>65</v>
      </c>
      <c r="B94" s="6" t="s">
        <v>66</v>
      </c>
      <c r="C94" s="7">
        <v>45828</v>
      </c>
      <c r="D94" s="6" t="s">
        <v>11</v>
      </c>
      <c r="E94" s="6" t="s">
        <v>21</v>
      </c>
      <c r="F94" s="8">
        <v>0.41736111111111113</v>
      </c>
      <c r="G94" s="8">
        <v>0.42430555555555555</v>
      </c>
      <c r="H94" s="8">
        <f t="shared" ref="H94" si="55">+G94-F94</f>
        <v>6.9444444444444198E-3</v>
      </c>
      <c r="I94" s="9">
        <f t="shared" ref="I94" si="56">INT(HOUR(H94)*60+MINUTE(H94))</f>
        <v>10</v>
      </c>
      <c r="J94" s="9">
        <v>350</v>
      </c>
      <c r="K94" s="10">
        <f t="shared" ref="K94" si="57">+J94*I94</f>
        <v>3500</v>
      </c>
    </row>
    <row r="95" spans="1:11" x14ac:dyDescent="0.25">
      <c r="A95" s="6" t="s">
        <v>65</v>
      </c>
      <c r="B95" s="6" t="s">
        <v>66</v>
      </c>
      <c r="C95" s="7">
        <v>45828</v>
      </c>
      <c r="D95" s="6" t="s">
        <v>14</v>
      </c>
      <c r="E95" s="6" t="s">
        <v>20</v>
      </c>
      <c r="F95" s="8"/>
      <c r="G95" s="8"/>
      <c r="H95" s="8"/>
      <c r="I95" s="11">
        <v>0.1</v>
      </c>
      <c r="J95" s="9">
        <v>19000</v>
      </c>
      <c r="K95" s="10">
        <f t="shared" ref="K95" si="58">+I95*J95</f>
        <v>1900</v>
      </c>
    </row>
    <row r="96" spans="1:11" x14ac:dyDescent="0.25">
      <c r="A96" s="6" t="s">
        <v>65</v>
      </c>
      <c r="B96" s="6" t="s">
        <v>66</v>
      </c>
      <c r="C96" s="7">
        <v>45828</v>
      </c>
      <c r="D96" s="6" t="s">
        <v>11</v>
      </c>
      <c r="E96" s="6" t="s">
        <v>56</v>
      </c>
      <c r="F96" s="8">
        <v>0.45833333333333331</v>
      </c>
      <c r="G96" s="8">
        <v>0.47916666666666669</v>
      </c>
      <c r="H96" s="8">
        <f t="shared" ref="H96:H97" si="59">+G96-F96</f>
        <v>2.083333333333337E-2</v>
      </c>
      <c r="I96" s="9">
        <f t="shared" ref="I96:I97" si="60">INT(HOUR(H96)*60+MINUTE(H96))</f>
        <v>30</v>
      </c>
      <c r="J96" s="9">
        <v>500</v>
      </c>
      <c r="K96" s="10">
        <f t="shared" ref="K96:K97" si="61">+J96*I96</f>
        <v>15000</v>
      </c>
    </row>
    <row r="97" spans="1:11" x14ac:dyDescent="0.25">
      <c r="A97" s="6" t="s">
        <v>65</v>
      </c>
      <c r="B97" s="6" t="s">
        <v>66</v>
      </c>
      <c r="C97" s="7">
        <v>45828</v>
      </c>
      <c r="D97" s="6" t="s">
        <v>11</v>
      </c>
      <c r="E97" s="6" t="s">
        <v>57</v>
      </c>
      <c r="F97" s="8">
        <v>0.45833333333333331</v>
      </c>
      <c r="G97" s="8">
        <v>0.47986111111111113</v>
      </c>
      <c r="H97" s="8">
        <f t="shared" si="59"/>
        <v>2.1527777777777812E-2</v>
      </c>
      <c r="I97" s="9">
        <f t="shared" si="60"/>
        <v>31</v>
      </c>
      <c r="J97" s="9">
        <v>350</v>
      </c>
      <c r="K97" s="10">
        <f t="shared" si="61"/>
        <v>10850</v>
      </c>
    </row>
    <row r="98" spans="1:11" x14ac:dyDescent="0.25">
      <c r="A98" s="6" t="s">
        <v>65</v>
      </c>
      <c r="B98" s="6" t="s">
        <v>66</v>
      </c>
      <c r="C98" s="7">
        <v>45828</v>
      </c>
      <c r="D98" s="6" t="s">
        <v>14</v>
      </c>
      <c r="E98" s="6" t="s">
        <v>58</v>
      </c>
      <c r="F98" s="8"/>
      <c r="G98" s="8"/>
      <c r="H98" s="8"/>
      <c r="I98" s="11">
        <f>919-917</f>
        <v>2</v>
      </c>
      <c r="J98" s="9">
        <v>1400</v>
      </c>
      <c r="K98" s="10">
        <f t="shared" ref="K98" si="62">+I98*J98</f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Lisboa</dc:creator>
  <cp:lastModifiedBy>Morochief</cp:lastModifiedBy>
  <dcterms:created xsi:type="dcterms:W3CDTF">2026-06-11T13:49:50Z</dcterms:created>
  <dcterms:modified xsi:type="dcterms:W3CDTF">2026-06-20T20:47:02Z</dcterms:modified>
</cp:coreProperties>
</file>